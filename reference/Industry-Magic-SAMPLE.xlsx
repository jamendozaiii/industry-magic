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ions" sheetId="1" r:id="rId5"/>
    <sheet state="visible" name="Report - Change Incl" sheetId="2" r:id="rId6"/>
    <sheet state="visible" name="Report - No Change" sheetId="3" r:id="rId7"/>
    <sheet state="visible" name="Operation Lists" sheetId="4" r:id="rId8"/>
  </sheets>
  <definedNames/>
  <calcPr/>
</workbook>
</file>

<file path=xl/sharedStrings.xml><?xml version="1.0" encoding="utf-8"?>
<sst xmlns="http://schemas.openxmlformats.org/spreadsheetml/2006/main" count="130" uniqueCount="66">
  <si>
    <t>SPECIFICS</t>
  </si>
  <si>
    <t>Compared to:</t>
  </si>
  <si>
    <t>Industry</t>
  </si>
  <si>
    <t>MODIFY SELECTION</t>
  </si>
  <si>
    <t>Reference:</t>
  </si>
  <si>
    <t>GTM Data Team - Internal - Industry Magic SOPs (see docs)</t>
  </si>
  <si>
    <t>Wealth</t>
  </si>
  <si>
    <t>Year</t>
  </si>
  <si>
    <t>Quarter</t>
  </si>
  <si>
    <t>Comparison Type</t>
  </si>
  <si>
    <t>List of Orgs (sample)</t>
  </si>
  <si>
    <t>Quarterly</t>
  </si>
  <si>
    <t>Life</t>
  </si>
  <si>
    <t>Main Org</t>
  </si>
  <si>
    <t>Acme Financial (0001)</t>
  </si>
  <si>
    <t>Company A</t>
  </si>
  <si>
    <t>Northwind Mutual (0002)</t>
  </si>
  <si>
    <t>MOVE TO:</t>
  </si>
  <si>
    <t>Company B</t>
  </si>
  <si>
    <t>Report - Change Incl</t>
  </si>
  <si>
    <t>Yearly</t>
  </si>
  <si>
    <t>None</t>
  </si>
  <si>
    <t>Cascade Advisors (0003)</t>
  </si>
  <si>
    <t>B2B</t>
  </si>
  <si>
    <t>Date Range: Q2, 2026</t>
  </si>
  <si>
    <t>Report - No Change</t>
  </si>
  <si>
    <t>P&amp;C</t>
  </si>
  <si>
    <t>Summit Insurance Group (0004)</t>
  </si>
  <si>
    <t>Wealth Industry Average</t>
  </si>
  <si>
    <t>Asset Management</t>
  </si>
  <si>
    <t>Harbor Wealth (0005)</t>
  </si>
  <si>
    <t>Commercial Banking</t>
  </si>
  <si>
    <t>Strengthening Presence</t>
  </si>
  <si>
    <t>Retail Banking</t>
  </si>
  <si>
    <t>Mortgage</t>
  </si>
  <si>
    <t>Recruiting</t>
  </si>
  <si>
    <t>Sample only — the real hidden tabs (Operation Lists, Org Lists, References) hold the full customer roster and are not reproduced.</t>
  </si>
  <si>
    <t>Workspaces</t>
  </si>
  <si>
    <t>Show?</t>
  </si>
  <si>
    <t>Metric</t>
  </si>
  <si>
    <t>Main Org Q2</t>
  </si>
  <si>
    <t>Main Org Q1</t>
  </si>
  <si>
    <t>Ind Avg Q2</t>
  </si>
  <si>
    <t>Ind Avg Q1</t>
  </si>
  <si>
    <t>Company A Q2</t>
  </si>
  <si>
    <t>Company A Q1</t>
  </si>
  <si>
    <t>Company B Q2</t>
  </si>
  <si>
    <t>Company B Q1</t>
  </si>
  <si>
    <t>Social Accounts per workspace</t>
  </si>
  <si>
    <t>Connections per workspace</t>
  </si>
  <si>
    <t>Average Facebook Connections</t>
  </si>
  <si>
    <t>Average Instagram Connections</t>
  </si>
  <si>
    <t>Average LinkedIn Connections</t>
  </si>
  <si>
    <t>Publishes and Engagements</t>
  </si>
  <si>
    <t>Average Twitter Connections</t>
  </si>
  <si>
    <t>Quarterly Publishes per workspace</t>
  </si>
  <si>
    <t>% of original publishes per workspace</t>
  </si>
  <si>
    <t>Monthly Publishes per workspace</t>
  </si>
  <si>
    <t>Overall engagement rate</t>
  </si>
  <si>
    <t>LinkedIn engagement rate</t>
  </si>
  <si>
    <t>Facebook engagement rate</t>
  </si>
  <si>
    <t>Instagram engagement rate</t>
  </si>
  <si>
    <t>Twitter engagement rate</t>
  </si>
  <si>
    <t>Legend:</t>
  </si>
  <si>
    <t>Blue cells = data inputs (fake sample values). 'Show?' TRUE/FALSE controls whether a row appears on the Report tabs.</t>
  </si>
  <si>
    <t>% rows are stored as whole percentage points (8 = 8%). All names and numbers here are fictional.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</si>
</sst>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u/>
      <sz val="11.0"/>
      <color rgb="FF1155CC"/>
      <name val="Arial"/>
    </font>
    <font>
      <sz val="11.0"/>
      <color theme="1"/>
      <name val="Calibri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B4D"/>
        <bgColor rgb="FF1F3B4D"/>
      </patternFill>
    </fill>
    <fill>
      <patternFill patternType="solid">
        <fgColor rgb="FFD9E2EC"/>
        <bgColor rgb="FFD9E2EC"/>
      </patternFill>
    </fill>
  </fills>
  <borders count="3">
    <border/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1" fillId="3" fontId="1" numFmtId="0" xfId="0" applyAlignment="1" applyBorder="1" applyFill="1" applyFont="1">
      <alignment shrinkToFit="0" vertical="bottom" wrapText="0"/>
    </xf>
    <xf borderId="1" fillId="3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34.0"/>
    <col customWidth="1" min="3" max="5" width="13.0"/>
    <col customWidth="1" min="6" max="6" width="22.0"/>
    <col customWidth="1" min="7" max="10" width="13.0"/>
    <col customWidth="1" min="11" max="26" width="8.71"/>
  </cols>
  <sheetData>
    <row r="1">
      <c r="C1" s="1" t="s">
        <v>1</v>
      </c>
      <c r="E1" s="1" t="s">
        <v>4</v>
      </c>
      <c r="F1" s="3" t="s">
        <v>5</v>
      </c>
    </row>
    <row r="2">
      <c r="A2" s="4" t="s">
        <v>6</v>
      </c>
      <c r="B2" s="5" t="s">
        <v>2</v>
      </c>
      <c r="C2" s="3" t="s">
        <v>6</v>
      </c>
    </row>
    <row r="3">
      <c r="A3" s="4">
        <v>2026.0</v>
      </c>
      <c r="B3" s="5" t="s">
        <v>7</v>
      </c>
      <c r="C3" s="3">
        <v>2026.0</v>
      </c>
      <c r="E3" s="1" t="s">
        <v>17</v>
      </c>
      <c r="F3" s="6" t="s">
        <v>19</v>
      </c>
    </row>
    <row r="4">
      <c r="A4" s="4">
        <v>2.0</v>
      </c>
      <c r="B4" s="5" t="s">
        <v>8</v>
      </c>
      <c r="C4" s="3">
        <v>1.0</v>
      </c>
      <c r="F4" s="6" t="s">
        <v>25</v>
      </c>
    </row>
    <row r="5">
      <c r="A5" s="4" t="s">
        <v>11</v>
      </c>
      <c r="B5" s="5" t="s">
        <v>9</v>
      </c>
      <c r="C5" s="3"/>
    </row>
    <row r="6">
      <c r="A6" s="4" t="s">
        <v>14</v>
      </c>
      <c r="B6" s="5" t="s">
        <v>13</v>
      </c>
      <c r="C6" s="3"/>
    </row>
    <row r="7">
      <c r="A7" s="4" t="s">
        <v>16</v>
      </c>
      <c r="B7" s="5" t="s">
        <v>15</v>
      </c>
      <c r="C7" s="3"/>
    </row>
    <row r="8">
      <c r="A8" s="4" t="s">
        <v>22</v>
      </c>
      <c r="B8" s="5" t="s">
        <v>18</v>
      </c>
      <c r="C8" s="3"/>
    </row>
    <row r="11">
      <c r="A11" s="7" t="s">
        <v>38</v>
      </c>
      <c r="B11" s="7" t="s">
        <v>39</v>
      </c>
      <c r="C11" s="7" t="s">
        <v>40</v>
      </c>
      <c r="D11" s="7" t="s">
        <v>41</v>
      </c>
      <c r="E11" s="7" t="s">
        <v>42</v>
      </c>
      <c r="F11" s="7" t="s">
        <v>43</v>
      </c>
      <c r="G11" s="7" t="s">
        <v>44</v>
      </c>
      <c r="H11" s="7" t="s">
        <v>45</v>
      </c>
      <c r="I11" s="7" t="s">
        <v>46</v>
      </c>
      <c r="J11" s="7" t="s">
        <v>47</v>
      </c>
    </row>
    <row r="12">
      <c r="A12" s="9"/>
      <c r="B12" s="8" t="s">
        <v>32</v>
      </c>
      <c r="C12" s="9"/>
      <c r="D12" s="9"/>
      <c r="E12" s="9"/>
      <c r="F12" s="9"/>
      <c r="G12" s="9"/>
      <c r="H12" s="9"/>
      <c r="I12" s="9"/>
      <c r="J12" s="9"/>
    </row>
    <row r="13">
      <c r="A13" s="12" t="b">
        <f t="shared" ref="A13:A15" si="1">TRUE()</f>
        <v>1</v>
      </c>
      <c r="B13" s="3" t="s">
        <v>37</v>
      </c>
      <c r="C13" s="13">
        <v>82.0</v>
      </c>
      <c r="D13" s="13">
        <v>79.0</v>
      </c>
      <c r="E13" s="13">
        <v>78.0</v>
      </c>
      <c r="F13" s="13">
        <v>77.0</v>
      </c>
      <c r="G13" s="13">
        <v>105.0</v>
      </c>
      <c r="H13" s="13">
        <v>106.0</v>
      </c>
      <c r="I13" s="13">
        <v>106.0</v>
      </c>
      <c r="J13" s="13">
        <v>107.0</v>
      </c>
    </row>
    <row r="14">
      <c r="A14" s="12" t="b">
        <f t="shared" si="1"/>
        <v>1</v>
      </c>
      <c r="B14" s="3" t="s">
        <v>48</v>
      </c>
      <c r="C14" s="13">
        <v>1.0</v>
      </c>
      <c r="D14" s="13">
        <v>1.0</v>
      </c>
      <c r="E14" s="13">
        <v>1.0</v>
      </c>
      <c r="F14" s="13">
        <v>1.0</v>
      </c>
      <c r="G14" s="13">
        <v>1.0</v>
      </c>
      <c r="H14" s="13">
        <v>1.0</v>
      </c>
      <c r="I14" s="13">
        <v>1.0</v>
      </c>
      <c r="J14" s="13">
        <v>1.0</v>
      </c>
    </row>
    <row r="15">
      <c r="A15" s="12" t="b">
        <f t="shared" si="1"/>
        <v>1</v>
      </c>
      <c r="B15" s="3" t="s">
        <v>49</v>
      </c>
      <c r="C15" s="13">
        <v>1600.0</v>
      </c>
      <c r="D15" s="13">
        <v>1510.0</v>
      </c>
      <c r="E15" s="13">
        <v>1480.0</v>
      </c>
      <c r="F15" s="13">
        <v>1470.0</v>
      </c>
      <c r="G15" s="13">
        <v>1590.0</v>
      </c>
      <c r="H15" s="13">
        <v>1575.0</v>
      </c>
      <c r="I15" s="13">
        <v>1570.0</v>
      </c>
      <c r="J15" s="13">
        <v>1568.0</v>
      </c>
    </row>
    <row r="16">
      <c r="A16" s="12" t="b">
        <f t="shared" ref="A16:A17" si="2">FALSE()</f>
        <v>0</v>
      </c>
      <c r="B16" s="3" t="s">
        <v>50</v>
      </c>
      <c r="C16" s="13">
        <v>150.0</v>
      </c>
      <c r="D16" s="13">
        <v>148.0</v>
      </c>
      <c r="E16" s="13">
        <v>220.0</v>
      </c>
      <c r="F16" s="13">
        <v>219.0</v>
      </c>
      <c r="G16" s="13">
        <v>210.0</v>
      </c>
      <c r="H16" s="13">
        <v>213.0</v>
      </c>
      <c r="I16" s="13">
        <v>340.0</v>
      </c>
      <c r="J16" s="13">
        <v>341.0</v>
      </c>
    </row>
    <row r="17">
      <c r="A17" s="12" t="b">
        <f t="shared" si="2"/>
        <v>0</v>
      </c>
      <c r="B17" s="3" t="s">
        <v>51</v>
      </c>
      <c r="C17" s="13">
        <v>130.0</v>
      </c>
      <c r="D17" s="13">
        <v>128.0</v>
      </c>
      <c r="E17" s="13">
        <v>270.0</v>
      </c>
      <c r="F17" s="13">
        <v>265.0</v>
      </c>
      <c r="G17" s="13">
        <v>225.0</v>
      </c>
      <c r="H17" s="13">
        <v>230.0</v>
      </c>
      <c r="I17" s="13">
        <v>160.0</v>
      </c>
      <c r="J17" s="13">
        <v>164.0</v>
      </c>
    </row>
    <row r="18">
      <c r="A18" s="12" t="b">
        <f>TRUE()</f>
        <v>1</v>
      </c>
      <c r="B18" s="3" t="s">
        <v>52</v>
      </c>
      <c r="C18" s="13">
        <v>1600.0</v>
      </c>
      <c r="D18" s="13">
        <v>1510.0</v>
      </c>
      <c r="E18" s="13">
        <v>1480.0</v>
      </c>
      <c r="F18" s="13">
        <v>1470.0</v>
      </c>
      <c r="G18" s="13">
        <v>1585.0</v>
      </c>
      <c r="H18" s="13">
        <v>1570.0</v>
      </c>
      <c r="I18" s="13">
        <v>1565.0</v>
      </c>
      <c r="J18" s="13">
        <v>1563.0</v>
      </c>
    </row>
    <row r="19">
      <c r="A19" s="12" t="b">
        <f>FALSE()</f>
        <v>0</v>
      </c>
      <c r="B19" s="3" t="s">
        <v>54</v>
      </c>
      <c r="C19" s="13">
        <v>148.0</v>
      </c>
      <c r="D19" s="13">
        <v>120.0</v>
      </c>
      <c r="E19" s="13">
        <v>130.0</v>
      </c>
      <c r="F19" s="13">
        <v>125.0</v>
      </c>
      <c r="G19" s="13">
        <v>134.0</v>
      </c>
      <c r="H19" s="13">
        <v>130.0</v>
      </c>
      <c r="I19" s="13">
        <v>90.0</v>
      </c>
      <c r="J19" s="13">
        <v>92.0</v>
      </c>
    </row>
    <row r="20">
      <c r="A20" s="9"/>
      <c r="B20" s="8" t="s">
        <v>53</v>
      </c>
      <c r="C20" s="9"/>
      <c r="D20" s="9"/>
      <c r="E20" s="9"/>
      <c r="F20" s="9"/>
      <c r="G20" s="9"/>
      <c r="H20" s="9"/>
      <c r="I20" s="9"/>
      <c r="J20" s="9"/>
    </row>
    <row r="21" ht="15.75" customHeight="1">
      <c r="A21" s="12" t="b">
        <f>TRUE()</f>
        <v>1</v>
      </c>
      <c r="B21" s="3" t="s">
        <v>55</v>
      </c>
      <c r="C21" s="13">
        <v>18.0</v>
      </c>
      <c r="D21" s="13">
        <v>17.0</v>
      </c>
      <c r="E21" s="13">
        <v>16.0</v>
      </c>
      <c r="F21" s="13">
        <v>16.0</v>
      </c>
      <c r="G21" s="13">
        <v>12.0</v>
      </c>
      <c r="H21" s="13">
        <v>12.0</v>
      </c>
      <c r="I21" s="13">
        <v>11.0</v>
      </c>
      <c r="J21" s="13">
        <v>11.0</v>
      </c>
    </row>
    <row r="22" ht="15.75" customHeight="1">
      <c r="A22" s="12" t="b">
        <f>FALSE()</f>
        <v>0</v>
      </c>
      <c r="B22" s="3" t="s">
        <v>57</v>
      </c>
      <c r="C22" s="13">
        <v>6.0</v>
      </c>
      <c r="D22" s="13">
        <v>5.0</v>
      </c>
      <c r="E22" s="13">
        <v>5.0</v>
      </c>
      <c r="F22" s="13">
        <v>5.0</v>
      </c>
      <c r="G22" s="13">
        <v>4.0</v>
      </c>
      <c r="H22" s="13">
        <v>4.0</v>
      </c>
      <c r="I22" s="13">
        <v>4.0</v>
      </c>
      <c r="J22" s="13">
        <v>4.0</v>
      </c>
    </row>
    <row r="23" ht="15.75" customHeight="1">
      <c r="A23" s="12" t="b">
        <f t="shared" ref="A23:A24" si="3">TRUE()</f>
        <v>1</v>
      </c>
      <c r="B23" s="3" t="s">
        <v>56</v>
      </c>
      <c r="C23" s="13">
        <v>8.0</v>
      </c>
      <c r="D23" s="13">
        <v>7.0</v>
      </c>
      <c r="E23" s="13">
        <v>6.0</v>
      </c>
      <c r="F23" s="13">
        <v>6.0</v>
      </c>
      <c r="G23" s="13">
        <v>19.0</v>
      </c>
      <c r="H23" s="13">
        <v>10.0</v>
      </c>
      <c r="I23" s="13">
        <v>10.0</v>
      </c>
      <c r="J23" s="13">
        <v>9.0</v>
      </c>
    </row>
    <row r="24" ht="15.75" customHeight="1">
      <c r="A24" s="12" t="b">
        <f t="shared" si="3"/>
        <v>1</v>
      </c>
      <c r="B24" s="3" t="s">
        <v>58</v>
      </c>
      <c r="C24" s="13">
        <v>5.1</v>
      </c>
      <c r="D24" s="13">
        <v>4.3</v>
      </c>
      <c r="E24" s="13">
        <v>4.15</v>
      </c>
      <c r="F24" s="13">
        <v>4.05</v>
      </c>
      <c r="G24" s="13">
        <v>8.4</v>
      </c>
      <c r="H24" s="13">
        <v>8.5</v>
      </c>
      <c r="I24" s="13">
        <v>8.55</v>
      </c>
      <c r="J24" s="13">
        <v>8.5</v>
      </c>
    </row>
    <row r="25" ht="15.75" customHeight="1">
      <c r="A25" s="12" t="b">
        <f t="shared" ref="A25:A26" si="4">FALSE()</f>
        <v>0</v>
      </c>
      <c r="B25" s="3" t="s">
        <v>60</v>
      </c>
      <c r="C25" s="13">
        <v>0.9</v>
      </c>
      <c r="D25" s="13">
        <v>0.88</v>
      </c>
      <c r="E25" s="13">
        <v>1.08</v>
      </c>
      <c r="F25" s="13">
        <v>1.05</v>
      </c>
      <c r="G25" s="13">
        <v>0.34</v>
      </c>
      <c r="H25" s="13">
        <v>0.36</v>
      </c>
      <c r="I25" s="13">
        <v>1.75</v>
      </c>
      <c r="J25" s="13">
        <v>1.7</v>
      </c>
    </row>
    <row r="26" ht="15.75" customHeight="1">
      <c r="A26" s="12" t="b">
        <f t="shared" si="4"/>
        <v>0</v>
      </c>
      <c r="B26" s="3" t="s">
        <v>61</v>
      </c>
      <c r="C26" s="13">
        <v>2.98</v>
      </c>
      <c r="D26" s="13">
        <v>2.9</v>
      </c>
      <c r="E26" s="13">
        <v>2.4</v>
      </c>
      <c r="F26" s="13">
        <v>2.35</v>
      </c>
      <c r="G26" s="13">
        <v>0.78</v>
      </c>
      <c r="H26" s="13">
        <v>0.8</v>
      </c>
      <c r="I26" s="13">
        <v>1.81</v>
      </c>
      <c r="J26" s="13">
        <v>1.85</v>
      </c>
    </row>
    <row r="27" ht="15.75" customHeight="1">
      <c r="A27" s="12" t="b">
        <f>TRUE()</f>
        <v>1</v>
      </c>
      <c r="B27" s="3" t="s">
        <v>59</v>
      </c>
      <c r="C27" s="13">
        <v>5.1</v>
      </c>
      <c r="D27" s="13">
        <v>4.25</v>
      </c>
      <c r="E27" s="13">
        <v>4.14</v>
      </c>
      <c r="F27" s="13">
        <v>4.03</v>
      </c>
      <c r="G27" s="13">
        <v>8.39</v>
      </c>
      <c r="H27" s="13">
        <v>8.5</v>
      </c>
      <c r="I27" s="13">
        <v>8.55</v>
      </c>
      <c r="J27" s="13">
        <v>8.48</v>
      </c>
    </row>
    <row r="28" ht="15.75" customHeight="1">
      <c r="A28" s="12" t="b">
        <f>FALSE()</f>
        <v>0</v>
      </c>
      <c r="B28" s="3" t="s">
        <v>62</v>
      </c>
      <c r="C28" s="13">
        <v>0.91</v>
      </c>
      <c r="D28" s="13">
        <v>0.85</v>
      </c>
      <c r="E28" s="13">
        <v>0.46</v>
      </c>
      <c r="F28" s="13">
        <v>0.44</v>
      </c>
      <c r="G28" s="13">
        <v>0.14</v>
      </c>
      <c r="H28" s="13">
        <v>0.13</v>
      </c>
      <c r="I28" s="13">
        <v>0.21</v>
      </c>
      <c r="J28" s="13">
        <v>0.2</v>
      </c>
    </row>
    <row r="29" ht="15.75" customHeight="1"/>
    <row r="30" ht="15.75" customHeight="1">
      <c r="B30" s="1" t="s">
        <v>63</v>
      </c>
    </row>
    <row r="31" ht="15.75" customHeight="1">
      <c r="B31" s="3" t="s">
        <v>64</v>
      </c>
    </row>
    <row r="32" ht="15.75" customHeight="1">
      <c r="B32" s="3" t="s">
        <v>65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5" width="22.0"/>
    <col customWidth="1" min="6" max="26" width="8.71"/>
  </cols>
  <sheetData>
    <row r="1">
      <c r="A1" s="1" t="s">
        <v>0</v>
      </c>
      <c r="B1" s="1" t="s">
        <v>3</v>
      </c>
    </row>
    <row r="2">
      <c r="A2" s="3" t="s">
        <v>2</v>
      </c>
      <c r="B2" s="4" t="s">
        <v>6</v>
      </c>
    </row>
    <row r="3">
      <c r="A3" s="3" t="s">
        <v>7</v>
      </c>
      <c r="B3" s="4">
        <v>2026.0</v>
      </c>
    </row>
    <row r="4">
      <c r="A4" s="3" t="s">
        <v>8</v>
      </c>
      <c r="B4" s="4">
        <v>2.0</v>
      </c>
    </row>
    <row r="5">
      <c r="A5" s="3" t="s">
        <v>9</v>
      </c>
      <c r="B5" s="4" t="s">
        <v>11</v>
      </c>
    </row>
    <row r="6">
      <c r="A6" s="3" t="s">
        <v>13</v>
      </c>
      <c r="B6" s="4" t="s">
        <v>14</v>
      </c>
    </row>
    <row r="7">
      <c r="A7" s="3" t="s">
        <v>15</v>
      </c>
      <c r="B7" s="4" t="s">
        <v>16</v>
      </c>
    </row>
    <row r="8">
      <c r="A8" s="3" t="s">
        <v>18</v>
      </c>
      <c r="B8" s="4" t="s">
        <v>22</v>
      </c>
    </row>
    <row r="10">
      <c r="A10" s="7" t="s">
        <v>24</v>
      </c>
      <c r="B10" s="7" t="s">
        <v>14</v>
      </c>
      <c r="C10" s="7" t="s">
        <v>28</v>
      </c>
      <c r="D10" s="7" t="s">
        <v>16</v>
      </c>
      <c r="E10" s="7" t="s">
        <v>22</v>
      </c>
    </row>
    <row r="11">
      <c r="A11" s="8" t="s">
        <v>32</v>
      </c>
      <c r="B11" s="9"/>
      <c r="C11" s="9"/>
      <c r="D11" s="9"/>
      <c r="E11" s="9"/>
    </row>
    <row r="12">
      <c r="A12" s="3" t="s">
        <v>37</v>
      </c>
      <c r="B12" s="11" t="str">
        <f>Operations!C13&amp;" ("&amp;IF((Operations!C13-Operations!D13)=0,"0",IF((Operations!C13-Operations!D13)&gt;0,"+"&amp;(Operations!C13-Operations!D13),(Operations!C13-Operations!D13)))&amp;")"</f>
        <v>82 (+3)</v>
      </c>
      <c r="C12" s="11" t="str">
        <f>Operations!E13&amp;" ("&amp;IF((Operations!E13-Operations!F13)=0,"0",IF((Operations!E13-Operations!F13)&gt;0,"+"&amp;(Operations!E13-Operations!F13),(Operations!E13-Operations!F13)))&amp;")"</f>
        <v>78 (+1)</v>
      </c>
      <c r="D12" s="11" t="str">
        <f>Operations!G13&amp;" ("&amp;IF((Operations!G13-Operations!H13)=0,"0",IF((Operations!G13-Operations!H13)&gt;0,"+"&amp;(Operations!G13-Operations!H13),(Operations!G13-Operations!H13)))&amp;")"</f>
        <v>105 (-1)</v>
      </c>
      <c r="E12" s="11" t="str">
        <f>Operations!I13&amp;" ("&amp;IF((Operations!I13-Operations!J13)=0,"0",IF((Operations!I13-Operations!J13)&gt;0,"+"&amp;(Operations!I13-Operations!J13),(Operations!I13-Operations!J13)))&amp;")"</f>
        <v>106 (-1)</v>
      </c>
    </row>
    <row r="13">
      <c r="A13" s="3" t="s">
        <v>48</v>
      </c>
      <c r="B13" s="11" t="str">
        <f>TEXT(Operations!C14,"0.00")&amp;" ("&amp;IF(ROUND((Operations!C14-Operations!D14),2)=0,"0",IF((Operations!C14-Operations!D14)&gt;0,"+"&amp;TEXT(ABS((Operations!C14-Operations!D14)),"0.00"),"-"&amp;TEXT(ABS((Operations!C14-Operations!D14)),"0.00")))&amp;")"</f>
        <v>1.00 (0)</v>
      </c>
      <c r="C13" s="11" t="str">
        <f>TEXT(Operations!E14,"0.00")&amp;" ("&amp;IF(ROUND((Operations!E14-Operations!F14),2)=0,"0",IF((Operations!E14-Operations!F14)&gt;0,"+"&amp;TEXT(ABS((Operations!E14-Operations!F14)),"0.00"),"-"&amp;TEXT(ABS((Operations!E14-Operations!F14)),"0.00")))&amp;")"</f>
        <v>1.00 (0)</v>
      </c>
      <c r="D13" s="11" t="str">
        <f>TEXT(Operations!G14,"0.00")&amp;" ("&amp;IF(ROUND((Operations!G14-Operations!H14),2)=0,"0",IF((Operations!G14-Operations!H14)&gt;0,"+"&amp;TEXT(ABS((Operations!G14-Operations!H14)),"0.00"),"-"&amp;TEXT(ABS((Operations!G14-Operations!H14)),"0.00")))&amp;")"</f>
        <v>1.00 (0)</v>
      </c>
      <c r="E13" s="11" t="str">
        <f>TEXT(Operations!I14,"0.00")&amp;" ("&amp;IF(ROUND((Operations!I14-Operations!J14),2)=0,"0",IF((Operations!I14-Operations!J14)&gt;0,"+"&amp;TEXT(ABS((Operations!I14-Operations!J14)),"0.00"),"-"&amp;TEXT(ABS((Operations!I14-Operations!J14)),"0.00")))&amp;")"</f>
        <v>1.00 (0)</v>
      </c>
    </row>
    <row r="14">
      <c r="A14" s="3" t="s">
        <v>49</v>
      </c>
      <c r="B14" s="11" t="str">
        <f>Operations!C15&amp;" ("&amp;IF((Operations!C15-Operations!D15)=0,"0",IF((Operations!C15-Operations!D15)&gt;0,"+"&amp;(Operations!C15-Operations!D15),(Operations!C15-Operations!D15)))&amp;")"</f>
        <v>1600 (+90)</v>
      </c>
      <c r="C14" s="11" t="str">
        <f>Operations!E15&amp;" ("&amp;IF((Operations!E15-Operations!F15)=0,"0",IF((Operations!E15-Operations!F15)&gt;0,"+"&amp;(Operations!E15-Operations!F15),(Operations!E15-Operations!F15)))&amp;")"</f>
        <v>1480 (+10)</v>
      </c>
      <c r="D14" s="11" t="str">
        <f>Operations!G15&amp;" ("&amp;IF((Operations!G15-Operations!H15)=0,"0",IF((Operations!G15-Operations!H15)&gt;0,"+"&amp;(Operations!G15-Operations!H15),(Operations!G15-Operations!H15)))&amp;")"</f>
        <v>1590 (+15)</v>
      </c>
      <c r="E14" s="11" t="str">
        <f>Operations!I15&amp;" ("&amp;IF((Operations!I15-Operations!J15)=0,"0",IF((Operations!I15-Operations!J15)&gt;0,"+"&amp;(Operations!I15-Operations!J15),(Operations!I15-Operations!J15)))&amp;")"</f>
        <v>1570 (+2)</v>
      </c>
    </row>
    <row r="15">
      <c r="A15" s="3" t="s">
        <v>52</v>
      </c>
      <c r="B15" s="11" t="str">
        <f>Operations!C18&amp;" ("&amp;IF((Operations!C18-Operations!D18)=0,"0",IF((Operations!C18-Operations!D18)&gt;0,"+"&amp;(Operations!C18-Operations!D18),(Operations!C18-Operations!D18)))&amp;")"</f>
        <v>1600 (+90)</v>
      </c>
      <c r="C15" s="11" t="str">
        <f>Operations!E18&amp;" ("&amp;IF((Operations!E18-Operations!F18)=0,"0",IF((Operations!E18-Operations!F18)&gt;0,"+"&amp;(Operations!E18-Operations!F18),(Operations!E18-Operations!F18)))&amp;")"</f>
        <v>1480 (+10)</v>
      </c>
      <c r="D15" s="11" t="str">
        <f>Operations!G18&amp;" ("&amp;IF((Operations!G18-Operations!H18)=0,"0",IF((Operations!G18-Operations!H18)&gt;0,"+"&amp;(Operations!G18-Operations!H18),(Operations!G18-Operations!H18)))&amp;")"</f>
        <v>1585 (+15)</v>
      </c>
      <c r="E15" s="11" t="str">
        <f>Operations!I18&amp;" ("&amp;IF((Operations!I18-Operations!J18)=0,"0",IF((Operations!I18-Operations!J18)&gt;0,"+"&amp;(Operations!I18-Operations!J18),(Operations!I18-Operations!J18)))&amp;")"</f>
        <v>1565 (+2)</v>
      </c>
    </row>
    <row r="16">
      <c r="A16" s="8" t="s">
        <v>53</v>
      </c>
      <c r="B16" s="9"/>
      <c r="C16" s="9"/>
      <c r="D16" s="9"/>
      <c r="E16" s="9"/>
    </row>
    <row r="17">
      <c r="A17" s="3" t="s">
        <v>55</v>
      </c>
      <c r="B17" s="11" t="str">
        <f>Operations!C21&amp;" ("&amp;IF((Operations!C21-Operations!D21)=0,"0",IF((Operations!C21-Operations!D21)&gt;0,"+"&amp;(Operations!C21-Operations!D21),(Operations!C21-Operations!D21)))&amp;")"</f>
        <v>18 (+1)</v>
      </c>
      <c r="C17" s="11" t="str">
        <f>Operations!E21&amp;" ("&amp;IF((Operations!E21-Operations!F21)=0,"0",IF((Operations!E21-Operations!F21)&gt;0,"+"&amp;(Operations!E21-Operations!F21),(Operations!E21-Operations!F21)))&amp;")"</f>
        <v>16 (0)</v>
      </c>
      <c r="D17" s="11" t="str">
        <f>Operations!G21&amp;" ("&amp;IF((Operations!G21-Operations!H21)=0,"0",IF((Operations!G21-Operations!H21)&gt;0,"+"&amp;(Operations!G21-Operations!H21),(Operations!G21-Operations!H21)))&amp;")"</f>
        <v>12 (0)</v>
      </c>
      <c r="E17" s="11" t="str">
        <f>Operations!I21&amp;" ("&amp;IF((Operations!I21-Operations!J21)=0,"0",IF((Operations!I21-Operations!J21)&gt;0,"+"&amp;(Operations!I21-Operations!J21),(Operations!I21-Operations!J21)))&amp;")"</f>
        <v>11 (0)</v>
      </c>
    </row>
    <row r="18">
      <c r="A18" s="3" t="s">
        <v>56</v>
      </c>
      <c r="B18" s="11" t="str">
        <f>Operations!C23&amp;"%"&amp;" ("&amp;IF((Operations!C23-Operations!D23)=0,"0%",IF((Operations!C23-Operations!D23)&gt;0,"+"&amp;(Operations!C23-Operations!D23)&amp;"%","-"&amp;ABS((Operations!C23-Operations!D23))&amp;"%"))&amp;")"</f>
        <v>8% (+1%)</v>
      </c>
      <c r="C18" s="11" t="str">
        <f>Operations!E23&amp;"%"&amp;" ("&amp;IF((Operations!E23-Operations!F23)=0,"0%",IF((Operations!E23-Operations!F23)&gt;0,"+"&amp;(Operations!E23-Operations!F23)&amp;"%","-"&amp;ABS((Operations!E23-Operations!F23))&amp;"%"))&amp;")"</f>
        <v>6% (0%)</v>
      </c>
      <c r="D18" s="11" t="str">
        <f>Operations!G23&amp;"%"&amp;" ("&amp;IF((Operations!G23-Operations!H23)=0,"0%",IF((Operations!G23-Operations!H23)&gt;0,"+"&amp;(Operations!G23-Operations!H23)&amp;"%","-"&amp;ABS((Operations!G23-Operations!H23))&amp;"%"))&amp;")"</f>
        <v>19% (+9%)</v>
      </c>
      <c r="E18" s="11" t="str">
        <f>Operations!I23&amp;"%"&amp;" ("&amp;IF((Operations!I23-Operations!J23)=0,"0%",IF((Operations!I23-Operations!J23)&gt;0,"+"&amp;(Operations!I23-Operations!J23)&amp;"%","-"&amp;ABS((Operations!I23-Operations!J23))&amp;"%"))&amp;")"</f>
        <v>10% (+1%)</v>
      </c>
    </row>
    <row r="19">
      <c r="A19" s="3" t="s">
        <v>58</v>
      </c>
      <c r="B19" s="11" t="str">
        <f>TEXT(Operations!C24,"0.00")&amp;" ("&amp;IF(ROUND((Operations!C24-Operations!D24),2)=0,"0",IF((Operations!C24-Operations!D24)&gt;0,"+"&amp;TEXT(ABS((Operations!C24-Operations!D24)),"0.00"),"-"&amp;TEXT(ABS((Operations!C24-Operations!D24)),"0.00")))&amp;")"</f>
        <v>5.10 (+0.80)</v>
      </c>
      <c r="C19" s="11" t="str">
        <f>TEXT(Operations!E24,"0.00")&amp;" ("&amp;IF(ROUND((Operations!E24-Operations!F24),2)=0,"0",IF((Operations!E24-Operations!F24)&gt;0,"+"&amp;TEXT(ABS((Operations!E24-Operations!F24)),"0.00"),"-"&amp;TEXT(ABS((Operations!E24-Operations!F24)),"0.00")))&amp;")"</f>
        <v>4.15 (+0.10)</v>
      </c>
      <c r="D19" s="11" t="str">
        <f>TEXT(Operations!G24,"0.00")&amp;" ("&amp;IF(ROUND((Operations!G24-Operations!H24),2)=0,"0",IF((Operations!G24-Operations!H24)&gt;0,"+"&amp;TEXT(ABS((Operations!G24-Operations!H24)),"0.00"),"-"&amp;TEXT(ABS((Operations!G24-Operations!H24)),"0.00")))&amp;")"</f>
        <v>8.40 (-0.10)</v>
      </c>
      <c r="E19" s="11" t="str">
        <f>TEXT(Operations!I24,"0.00")&amp;" ("&amp;IF(ROUND((Operations!I24-Operations!J24),2)=0,"0",IF((Operations!I24-Operations!J24)&gt;0,"+"&amp;TEXT(ABS((Operations!I24-Operations!J24)),"0.00"),"-"&amp;TEXT(ABS((Operations!I24-Operations!J24)),"0.00")))&amp;")"</f>
        <v>8.55 (+0.05)</v>
      </c>
    </row>
    <row r="20">
      <c r="A20" s="3" t="s">
        <v>59</v>
      </c>
      <c r="B20" s="11" t="str">
        <f>TEXT(Operations!C27,"0.00")&amp;" ("&amp;IF(ROUND((Operations!C27-Operations!D27),2)=0,"0",IF((Operations!C27-Operations!D27)&gt;0,"+"&amp;TEXT(ABS((Operations!C27-Operations!D27)),"0.00"),"-"&amp;TEXT(ABS((Operations!C27-Operations!D27)),"0.00")))&amp;")"</f>
        <v>5.10 (+0.85)</v>
      </c>
      <c r="C20" s="11" t="str">
        <f>TEXT(Operations!E27,"0.00")&amp;" ("&amp;IF(ROUND((Operations!E27-Operations!F27),2)=0,"0",IF((Operations!E27-Operations!F27)&gt;0,"+"&amp;TEXT(ABS((Operations!E27-Operations!F27)),"0.00"),"-"&amp;TEXT(ABS((Operations!E27-Operations!F27)),"0.00")))&amp;")"</f>
        <v>4.14 (+0.11)</v>
      </c>
      <c r="D20" s="11" t="str">
        <f>TEXT(Operations!G27,"0.00")&amp;" ("&amp;IF(ROUND((Operations!G27-Operations!H27),2)=0,"0",IF((Operations!G27-Operations!H27)&gt;0,"+"&amp;TEXT(ABS((Operations!G27-Operations!H27)),"0.00"),"-"&amp;TEXT(ABS((Operations!G27-Operations!H27)),"0.00")))&amp;")"</f>
        <v>8.39 (-0.11)</v>
      </c>
      <c r="E20" s="11" t="str">
        <f>TEXT(Operations!I27,"0.00")&amp;" ("&amp;IF(ROUND((Operations!I27-Operations!J27),2)=0,"0",IF((Operations!I27-Operations!J27)&gt;0,"+"&amp;TEXT(ABS((Operations!I27-Operations!J27)),"0.00"),"-"&amp;TEXT(ABS((Operations!I27-Operations!J27)),"0.00")))&amp;")"</f>
        <v>8.55 (+0.07)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5" width="22.0"/>
    <col customWidth="1" min="6" max="26" width="8.71"/>
  </cols>
  <sheetData>
    <row r="1">
      <c r="A1" s="1" t="s">
        <v>0</v>
      </c>
      <c r="B1" s="1" t="s">
        <v>3</v>
      </c>
    </row>
    <row r="2">
      <c r="A2" s="3" t="s">
        <v>2</v>
      </c>
      <c r="B2" s="4" t="s">
        <v>6</v>
      </c>
    </row>
    <row r="3">
      <c r="A3" s="3" t="s">
        <v>7</v>
      </c>
      <c r="B3" s="4">
        <v>2026.0</v>
      </c>
    </row>
    <row r="4">
      <c r="A4" s="3" t="s">
        <v>8</v>
      </c>
      <c r="B4" s="4">
        <v>2.0</v>
      </c>
    </row>
    <row r="5">
      <c r="A5" s="3" t="s">
        <v>9</v>
      </c>
      <c r="B5" s="4" t="s">
        <v>21</v>
      </c>
    </row>
    <row r="6">
      <c r="A6" s="3" t="s">
        <v>13</v>
      </c>
      <c r="B6" s="4" t="s">
        <v>14</v>
      </c>
    </row>
    <row r="7">
      <c r="A7" s="3" t="s">
        <v>15</v>
      </c>
      <c r="B7" s="4" t="s">
        <v>16</v>
      </c>
    </row>
    <row r="8">
      <c r="A8" s="3" t="s">
        <v>18</v>
      </c>
      <c r="B8" s="4" t="s">
        <v>22</v>
      </c>
    </row>
    <row r="10">
      <c r="A10" s="7" t="s">
        <v>24</v>
      </c>
      <c r="B10" s="7" t="s">
        <v>14</v>
      </c>
      <c r="C10" s="7" t="s">
        <v>28</v>
      </c>
      <c r="D10" s="7" t="s">
        <v>16</v>
      </c>
      <c r="E10" s="7" t="s">
        <v>22</v>
      </c>
    </row>
    <row r="11">
      <c r="A11" s="8" t="s">
        <v>32</v>
      </c>
      <c r="B11" s="9"/>
      <c r="C11" s="9"/>
      <c r="D11" s="9"/>
      <c r="E11" s="9"/>
    </row>
    <row r="12">
      <c r="A12" s="3" t="s">
        <v>37</v>
      </c>
      <c r="B12" s="11">
        <f>Operations!C13</f>
        <v>82</v>
      </c>
      <c r="C12" s="11">
        <f>Operations!E13</f>
        <v>78</v>
      </c>
      <c r="D12" s="11">
        <f>Operations!G13</f>
        <v>105</v>
      </c>
      <c r="E12" s="11">
        <f>Operations!I13</f>
        <v>106</v>
      </c>
    </row>
    <row r="13">
      <c r="A13" s="3" t="s">
        <v>48</v>
      </c>
      <c r="B13" s="11" t="str">
        <f>TEXT(Operations!C14,"0.00")</f>
        <v>1.00</v>
      </c>
      <c r="C13" s="11" t="str">
        <f>TEXT(Operations!E14,"0.00")</f>
        <v>1.00</v>
      </c>
      <c r="D13" s="11" t="str">
        <f>TEXT(Operations!G14,"0.00")</f>
        <v>1.00</v>
      </c>
      <c r="E13" s="11" t="str">
        <f>TEXT(Operations!I14,"0.00")</f>
        <v>1.00</v>
      </c>
    </row>
    <row r="14">
      <c r="A14" s="3" t="s">
        <v>49</v>
      </c>
      <c r="B14" s="11">
        <f>Operations!C15</f>
        <v>1600</v>
      </c>
      <c r="C14" s="11">
        <f>Operations!E15</f>
        <v>1480</v>
      </c>
      <c r="D14" s="11">
        <f>Operations!G15</f>
        <v>1590</v>
      </c>
      <c r="E14" s="11">
        <f>Operations!I15</f>
        <v>1570</v>
      </c>
    </row>
    <row r="15">
      <c r="A15" s="3" t="s">
        <v>52</v>
      </c>
      <c r="B15" s="11">
        <f>Operations!C18</f>
        <v>1600</v>
      </c>
      <c r="C15" s="11">
        <f>Operations!E18</f>
        <v>1480</v>
      </c>
      <c r="D15" s="11">
        <f>Operations!G18</f>
        <v>1585</v>
      </c>
      <c r="E15" s="11">
        <f>Operations!I18</f>
        <v>1565</v>
      </c>
    </row>
    <row r="16">
      <c r="A16" s="8" t="s">
        <v>53</v>
      </c>
      <c r="B16" s="9"/>
      <c r="C16" s="9"/>
      <c r="D16" s="9"/>
      <c r="E16" s="9"/>
    </row>
    <row r="17">
      <c r="A17" s="3" t="s">
        <v>55</v>
      </c>
      <c r="B17" s="11">
        <f>Operations!C21</f>
        <v>18</v>
      </c>
      <c r="C17" s="11">
        <f>Operations!E21</f>
        <v>16</v>
      </c>
      <c r="D17" s="11">
        <f>Operations!G21</f>
        <v>12</v>
      </c>
      <c r="E17" s="11">
        <f>Operations!I21</f>
        <v>11</v>
      </c>
    </row>
    <row r="18">
      <c r="A18" s="3" t="s">
        <v>56</v>
      </c>
      <c r="B18" s="11" t="str">
        <f>Operations!C23&amp;"%"</f>
        <v>8%</v>
      </c>
      <c r="C18" s="11" t="str">
        <f>Operations!E23&amp;"%"</f>
        <v>6%</v>
      </c>
      <c r="D18" s="11" t="str">
        <f>Operations!G23&amp;"%"</f>
        <v>19%</v>
      </c>
      <c r="E18" s="11" t="str">
        <f>Operations!I23&amp;"%"</f>
        <v>10%</v>
      </c>
    </row>
    <row r="19">
      <c r="A19" s="3" t="s">
        <v>58</v>
      </c>
      <c r="B19" s="11" t="str">
        <f>TEXT(Operations!C24,"0.00")</f>
        <v>5.10</v>
      </c>
      <c r="C19" s="11" t="str">
        <f>TEXT(Operations!E24,"0.00")</f>
        <v>4.15</v>
      </c>
      <c r="D19" s="11" t="str">
        <f>TEXT(Operations!G24,"0.00")</f>
        <v>8.40</v>
      </c>
      <c r="E19" s="11" t="str">
        <f>TEXT(Operations!I24,"0.00")</f>
        <v>8.55</v>
      </c>
    </row>
    <row r="20">
      <c r="A20" s="3" t="s">
        <v>59</v>
      </c>
      <c r="B20" s="11" t="str">
        <f>TEXT(Operations!C27,"0.00")</f>
        <v>5.10</v>
      </c>
      <c r="C20" s="11" t="str">
        <f>TEXT(Operations!E27,"0.00")</f>
        <v>4.14</v>
      </c>
      <c r="D20" s="11" t="str">
        <f>TEXT(Operations!G27,"0.00")</f>
        <v>8.39</v>
      </c>
      <c r="E20" s="11" t="str">
        <f>TEXT(Operations!I27,"0.00")</f>
        <v>8.55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6.0"/>
    <col customWidth="1" min="6" max="26" width="8.71"/>
  </cols>
  <sheetData>
    <row r="1">
      <c r="A1" s="2" t="s">
        <v>2</v>
      </c>
      <c r="B1" s="2" t="s">
        <v>7</v>
      </c>
      <c r="C1" s="2" t="s">
        <v>8</v>
      </c>
      <c r="D1" s="2" t="s">
        <v>9</v>
      </c>
      <c r="E1" s="2" t="s">
        <v>10</v>
      </c>
    </row>
    <row r="2">
      <c r="A2" s="3" t="s">
        <v>12</v>
      </c>
      <c r="B2" s="3">
        <v>2021.0</v>
      </c>
      <c r="C2" s="3">
        <v>1.0</v>
      </c>
      <c r="D2" s="3" t="s">
        <v>11</v>
      </c>
      <c r="E2" s="3" t="s">
        <v>14</v>
      </c>
    </row>
    <row r="3">
      <c r="A3" s="3" t="s">
        <v>6</v>
      </c>
      <c r="B3" s="3">
        <v>2022.0</v>
      </c>
      <c r="C3" s="3">
        <v>2.0</v>
      </c>
      <c r="D3" s="3" t="s">
        <v>20</v>
      </c>
      <c r="E3" s="3" t="s">
        <v>16</v>
      </c>
    </row>
    <row r="4">
      <c r="A4" s="3" t="s">
        <v>23</v>
      </c>
      <c r="B4" s="3">
        <v>2023.0</v>
      </c>
      <c r="C4" s="3">
        <v>3.0</v>
      </c>
      <c r="D4" s="3" t="s">
        <v>21</v>
      </c>
      <c r="E4" s="3" t="s">
        <v>22</v>
      </c>
    </row>
    <row r="5">
      <c r="A5" s="3" t="s">
        <v>26</v>
      </c>
      <c r="B5" s="3">
        <v>2024.0</v>
      </c>
      <c r="C5" s="3">
        <v>4.0</v>
      </c>
      <c r="E5" s="3" t="s">
        <v>27</v>
      </c>
    </row>
    <row r="6">
      <c r="A6" s="3" t="s">
        <v>29</v>
      </c>
      <c r="B6" s="3">
        <v>2025.0</v>
      </c>
      <c r="E6" s="3" t="s">
        <v>30</v>
      </c>
    </row>
    <row r="7">
      <c r="A7" s="3" t="s">
        <v>31</v>
      </c>
      <c r="B7" s="3">
        <v>2026.0</v>
      </c>
    </row>
    <row r="8">
      <c r="A8" s="3" t="s">
        <v>33</v>
      </c>
    </row>
    <row r="9">
      <c r="A9" s="3" t="s">
        <v>34</v>
      </c>
    </row>
    <row r="10">
      <c r="A10" s="3" t="s">
        <v>35</v>
      </c>
    </row>
    <row r="12">
      <c r="A12" s="10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